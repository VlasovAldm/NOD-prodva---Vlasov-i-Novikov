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20af1d9924f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етодика" sheetId="1" r:id="Ra76e1d0dfc8b4347"/>
    <x:sheet xmlns:r="http://schemas.openxmlformats.org/officeDocument/2006/relationships" name="Метрики_по_городам" sheetId="2" r:id="R8263cac5500e458d"/>
    <x:sheet xmlns:r="http://schemas.openxmlformats.org/officeDocument/2006/relationships" name="Модели_по_городам" sheetId="3" r:id="R316b07a56da1421f"/>
    <x:sheet xmlns:r="http://schemas.openxmlformats.org/officeDocument/2006/relationships" name="Графики" sheetId="4" r:id="R18b1112fd74d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 ₽"/>
    <x:numFmt numFmtId="201" formatCode="#,##0"/>
    <x:numFmt numFmtId="202" formatCode="0.00"/>
    <x:numFmt numFmtId="203" formatCode="#,##0.0"/>
    <x:numFmt numFmtId="204" formatCode="0"/>
  </x:numFmts>
  <x:fonts count="6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sz val="9"/>
      <x:name val="Carlito"/>
    </x:font>
    <x:font>
      <x:b/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CFDF5"/>
      </x:patternFill>
    </x:fill>
    <x:fill>
      <x:patternFill patternType="solid">
        <x:fgColor rgb="E0F2FE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2" fillId="4" borderId="0" xfId="0" applyNumberFormat="1" applyFont="1" applyFill="1" applyBorder="1"/>
    <x:xf numFmtId="20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c9fec7d39475a" /><Relationship Type="http://schemas.openxmlformats.org/officeDocument/2006/relationships/theme" Target="/xl/theme/theme1.xml" Id="Re6ca4f20a3bd427e" /><Relationship Type="http://schemas.openxmlformats.org/officeDocument/2006/relationships/sharedStrings" Target="/xl/sharedStrings.xml" Id="R500cd86572e24183" /><Relationship Type="http://schemas.openxmlformats.org/officeDocument/2006/relationships/worksheet" Target="/xl/worksheets/sheet1.xml" Id="Ra76e1d0dfc8b4347" /><Relationship Type="http://schemas.openxmlformats.org/officeDocument/2006/relationships/worksheet" Target="/xl/worksheets/sheet2.xml" Id="R8263cac5500e458d" /><Relationship Type="http://schemas.openxmlformats.org/officeDocument/2006/relationships/worksheet" Target="/xl/worksheets/sheet3.xml" Id="R316b07a56da1421f" /><Relationship Type="http://schemas.openxmlformats.org/officeDocument/2006/relationships/worksheet" Target="/xl/worksheets/sheet4.xml" Id="R18b1112fd74d43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30d0a0132447e5" /><Relationship Type="http://schemas.openxmlformats.org/officeDocument/2006/relationships/chart" Target="/xl/drawings/charts/chart2.xml" Id="Rab4df794120945c7" /><Relationship Type="http://schemas.openxmlformats.org/officeDocument/2006/relationships/chart" Target="/xl/drawings/charts/chart3.xml" Id="Rd45709f231ac4ad6" /><Relationship Type="http://schemas.openxmlformats.org/officeDocument/2006/relationships/chart" Target="/xl/drawings/charts/chart4.xml" Id="Rb857c70e2c004b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Предложение на 1000 зарплатно-взвешенных человек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объявлений / 1000 зарпл.-взв. чел</c:v>
          </c:tx>
          <c:cat>
            <c:strRef>
              <c:f>'Графики'!$A$25:$A$29</c:f>
              <c:strCache>
                <c:ptCount val="0"/>
              </c:strCache>
            </c:strRef>
          </c:cat>
          <c:val>
            <c:numRef>
              <c:f>'Графики'!$B$25:$B$29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До и после зарплатной корректировки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объявлений / 1000 чел</c:v>
          </c:tx>
          <c:cat>
            <c:strRef>
              <c:f>'Графики'!$D$25:$D$29</c:f>
              <c:strCache>
                <c:ptCount val="0"/>
              </c:strCache>
            </c:strRef>
          </c:cat>
          <c:val>
            <c:numRef>
              <c:f>'Графики'!$E$25:$E$29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объявлений / 1000 зарпл.-взв. чел</c:v>
          </c:tx>
          <c:cat>
            <c:strRef>
              <c:f>'Графики'!$D$25:$D$29</c:f>
              <c:strCache>
                <c:ptCount val="0"/>
              </c:strCache>
            </c:strRef>
          </c:cat>
          <c:val>
            <c:numRef>
              <c:f>'Графики'!$F$25:$F$29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Средняя зарплата по городам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зарплата, руб</c:v>
          </c:tx>
          <c:cat>
            <c:strRef>
              <c:f>'Графики'!$H$25:$H$29</c:f>
              <c:strCache>
                <c:ptCount val="0"/>
              </c:strCache>
            </c:strRef>
          </c:cat>
          <c:val>
            <c:numRef>
              <c:f>'Графики'!$I$25:$I$29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Структура оценочных объявлений по моделям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Crown</c:v>
          </c:tx>
          <c:cat>
            <c:strRef>
              <c:f>'Графики'!$A$33:$A$37</c:f>
              <c:strCache>
                <c:ptCount val="0"/>
              </c:strCache>
            </c:strRef>
          </c:cat>
          <c:val>
            <c:numRef>
              <c:f>'Графики'!$B$33:$B$37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Escalade</c:v>
          </c:tx>
          <c:cat>
            <c:strRef>
              <c:f>'Графики'!$A$33:$A$37</c:f>
              <c:strCache>
                <c:ptCount val="0"/>
              </c:strCache>
            </c:strRef>
          </c:cat>
          <c:val>
            <c:numRef>
              <c:f>'Графики'!$C$33:$C$37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Impreza</c:v>
          </c:tx>
          <c:cat>
            <c:strRef>
              <c:f>'Графики'!$A$33:$A$37</c:f>
              <c:strCache>
                <c:ptCount val="0"/>
              </c:strCache>
            </c:strRef>
          </c:cat>
          <c:val>
            <c:numRef>
              <c:f>'Графики'!$D$33:$D$37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Octavia</c:v>
          </c:tx>
          <c:cat>
            <c:strRef>
              <c:f>'Графики'!$A$33:$A$37</c:f>
              <c:strCache>
                <c:ptCount val="0"/>
              </c:strCache>
            </c:strRef>
          </c:cat>
          <c:val>
            <c:numRef>
              <c:f>'Графики'!$E$33:$E$37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Panamera</c:v>
          </c:tx>
          <c:cat>
            <c:strRef>
              <c:f>'Графики'!$A$33:$A$37</c:f>
              <c:strCache>
                <c:ptCount val="0"/>
              </c:strCache>
            </c:strRef>
          </c:cat>
          <c:val>
            <c:numRef>
              <c:f>'Графики'!$F$33:$F$37</c:f>
              <c:numCache>
                <c:formatCode/>
                <c:ptCount val="0"/>
              </c:numCache>
            </c:numRef>
          </c:val>
        </c:ser>
        <c:ser>
          <c:idx val="5"/>
          <c:order val="5"/>
          <c:tx>
            <c:v>Rio</c:v>
          </c:tx>
          <c:cat>
            <c:strRef>
              <c:f>'Графики'!$A$33:$A$37</c:f>
              <c:strCache>
                <c:ptCount val="0"/>
              </c:strCache>
            </c:strRef>
          </c:cat>
          <c:val>
            <c:numRef>
              <c:f>'Графики'!$G$33:$G$37</c:f>
              <c:numCache>
                <c:formatCode/>
                <c:ptCount val="0"/>
              </c:numCache>
            </c:numRef>
          </c:val>
        </c:ser>
        <c:ser>
          <c:idx val="6"/>
          <c:order val="6"/>
          <c:tx>
            <c:v>Stinger</c:v>
          </c:tx>
          <c:cat>
            <c:strRef>
              <c:f>'Графики'!$A$33:$A$37</c:f>
              <c:strCache>
                <c:ptCount val="0"/>
              </c:strCache>
            </c:strRef>
          </c:cat>
          <c:val>
            <c:numRef>
              <c:f>'Графики'!$H$33:$H$37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30d0a0132447e5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4df794120945c7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5709f231ac4ad6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57c70e2c004b4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ityMetrics" displayName="CityMetrics" ref="A3:O8" headerRowCount="1">
  <x:tableColumns count="15">
    <x:tableColumn id="1" name="drom_city"/>
    <x:tableColumn id="2" name="город"/>
    <x:tableColumn id="3" name="регион"/>
    <x:tableColumn id="4" name="людей"/>
    <x:tableColumn id="5" name="зарплата, руб"/>
    <x:tableColumn id="6" name="зарплатный вес"/>
    <x:tableColumn id="7" name="зарплатно-взвешенные люди"/>
    <x:tableColumn id="8" name="моделей"/>
    <x:tableColumn id="9" name="строк в сэмпле"/>
    <x:tableColumn id="10" name="оценка объявлений Drom"/>
    <x:tableColumn id="11" name="объявлений / 1000 чел"/>
    <x:tableColumn id="12" name="объявлений / 1000 зарпл.-взв. чел"/>
    <x:tableColumn id="13" name="медианная цена сэмпла"/>
    <x:tableColumn id="14" name="средние просмотры"/>
    <x:tableColumn id="15" name="ранг"/>
  </x:tableColumns>
  <x:tableStyleInfo name="TableStyleMedium2" showRowStripes="1"/>
</x:table>
</file>

<file path=xl/tables/table2.xml><?xml version="1.0" encoding="utf-8"?>
<x:table xmlns:x="http://schemas.openxmlformats.org/spreadsheetml/2006/main" id="2" name="ModelCounts" displayName="ModelCounts" ref="A1:I6" headerRowCount="1">
  <x:tableColumns count="9">
    <x:tableColumn id="1" name="город"/>
    <x:tableColumn id="2" name="Crown"/>
    <x:tableColumn id="3" name="Escalade"/>
    <x:tableColumn id="4" name="Impreza"/>
    <x:tableColumn id="5" name="Octavia"/>
    <x:tableColumn id="6" name="Panamera"/>
    <x:tableColumn id="7" name="Rio"/>
    <x:tableColumn id="8" name="Stinger"/>
    <x:tableColumn id="9" name="итого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a0f14241f244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16abcdabfa45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30ed7f446ab47e9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5" hidden="0" customWidth="1"/>
  </x:cols>
  <x:sheetData>
    <x:row r="1">
      <x:c r="A1" s="10" t="str">
        <x:v>Оценка предложений автомобилей на зарплатно-взвешенного человека</x:v>
      </x:c>
      <x:c r="B1" s="10"/>
    </x:row>
    <x:row r="2">
      <x:c r="A2" s="7" t="str">
        <x:v>Дата подготовки</x:v>
      </x:c>
      <x:c r="B2" t="str">
        <x:v>2026-05-27</x:v>
      </x:c>
    </x:row>
    <x:row r="3">
      <x:c r="A3" s="7" t="str">
        <x:v>Источник авто</x:v>
      </x:c>
      <x:c r="B3" t="str">
        <x:v>drom_tachki2(1).xlsx</x:v>
      </x:c>
    </x:row>
    <x:row r="4">
      <x:c r="A4" s="7" t="str">
        <x:v>Источник людей/зарплат</x:v>
      </x:c>
      <x:c r="B4" t="str">
        <x:v>vk_city_salary_analysis(2).xlsx → лист Зарплата_по_городам</x:v>
      </x:c>
    </x:row>
    <x:row r="5">
      <x:c r="A5" s="7" t="str">
        <x:v>Города</x:v>
      </x:c>
      <x:c r="B5" t="str">
        <x:v>Khabarovsk, Vladivostok, Ryazan, Saint Petersburg, Moscow</x:v>
      </x:c>
    </x:row>
    <x:row r="6">
      <x:c r="A6" s="7" t="str">
        <x:v>Базовый счётчик объявлений</x:v>
      </x:c>
      <x:c r="B6" t="str">
        <x:v>Сумма уникальных значений Количество_объявлений по связке город+модель. Строки Drom трактуются как сэмпл объявлений.</x:v>
      </x:c>
    </x:row>
    <x:row r="7">
      <x:c r="A7" s="7" t="str">
        <x:v>Средняя зарплата для веса</x:v>
      </x:c>
      <x:c r="B7" t="str">
        <x:v>Взвешенная по числу людей средняя зарплата среди 5 городов</x:v>
      </x:c>
    </x:row>
    <x:row r="8">
      <x:c r="A8" s="7" t="str">
        <x:v>Формула зарплатного веса</x:v>
      </x:c>
      <x:c r="B8" t="str">
        <x:v>зарплата города / средняя зарплата по выбранным городам</x:v>
      </x:c>
    </x:row>
    <x:row r="9">
      <x:c r="A9" s="7" t="str">
        <x:v>Формула зарплатно-взвешенных людей</x:v>
      </x:c>
      <x:c r="B9" t="str">
        <x:v>людей × зарплатный вес</x:v>
      </x:c>
    </x:row>
    <x:row r="10">
      <x:c r="A10" s="7" t="str">
        <x:v>Главный показатель</x:v>
      </x:c>
      <x:c r="B10" t="str">
        <x:v>объявлений / зарплатно-взвешенных людей × 1000</x:v>
      </x:c>
    </x:row>
    <x:row r="11">
      <x:c r="A11" s="7" t="str">
        <x:v>Интерпретация</x:v>
      </x:c>
      <x:c r="B11" t="str">
        <x:v>Чем выше показатель, тем больше предложение относительно аудитории с учётом зарплаты. Высокая зарплата увеличивает потенциальный спрос и снижает показатель при прочих равных.</x:v>
      </x:c>
    </x:row>
    <x:row r="12">
      <x:c r="A12" s="7" t="str">
        <x:v>Ограничение</x:v>
      </x:c>
      <x:c r="B12" t="str">
        <x:v>Оценка зависит от качества счётчиков Drom; в Ryazan значение Crown=801 выглядит как возможный выброс, поэтому оставлен как есть, но отмечен в выводах.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12" hidden="0" customWidth="1"/>
    <x:col min="5" max="5" width="16" hidden="0" customWidth="1"/>
    <x:col min="6" max="6" width="14" hidden="0" customWidth="1"/>
    <x:col min="7" max="7" width="20" hidden="0" customWidth="1"/>
    <x:col min="8" max="8" width="10" hidden="0" customWidth="1"/>
    <x:col min="9" max="9" width="14" hidden="0" customWidth="1"/>
    <x:col min="10" max="10" width="18" hidden="0" customWidth="1"/>
    <x:col min="11" max="11" width="18" hidden="0" customWidth="1"/>
    <x:col min="12" max="12" width="24" hidden="0" customWidth="1"/>
    <x:col min="13" max="13" width="18" hidden="0" customWidth="1"/>
    <x:col min="14" max="14" width="16" hidden="0" customWidth="1"/>
    <x:col min="15" max="15" width="8" hidden="0" customWidth="1"/>
  </x:cols>
  <x:sheetData>
    <x:row r="1">
      <x:c r="A1" s="13" t="str">
        <x:v>Средняя зарплата по выбранным городам, взвешенная по людям</x:v>
      </x:c>
      <x:c r="B1" s="16" t="n">
        <x:f>SUMPRODUCT(D4:D8,E4:E8)/SUM(D4:D8)</x:f>
        <x:v>88262.79234313768</x:v>
      </x:c>
    </x:row>
    <x:row r="3">
      <x:c r="A3" s="22" t="str">
        <x:v>drom_city</x:v>
      </x:c>
      <x:c r="B3" s="22" t="str">
        <x:v>город</x:v>
      </x:c>
      <x:c r="C3" s="22" t="str">
        <x:v>регион</x:v>
      </x:c>
      <x:c r="D3" s="22" t="str">
        <x:v>людей</x:v>
      </x:c>
      <x:c r="E3" s="22" t="str">
        <x:v>зарплата, руб</x:v>
      </x:c>
      <x:c r="F3" s="22" t="str">
        <x:v>зарплатный вес</x:v>
      </x:c>
      <x:c r="G3" s="22" t="str">
        <x:v>зарплатно-взвешенные люди</x:v>
      </x:c>
      <x:c r="H3" s="22" t="str">
        <x:v>моделей</x:v>
      </x:c>
      <x:c r="I3" s="22" t="str">
        <x:v>строк в сэмпле</x:v>
      </x:c>
      <x:c r="J3" s="22" t="str">
        <x:v>оценка объявлений Drom</x:v>
      </x:c>
      <x:c r="K3" s="22" t="str">
        <x:v>объявлений / 1000 чел</x:v>
      </x:c>
      <x:c r="L3" s="22" t="str">
        <x:v>объявлений / 1000 зарпл.-взв. чел</x:v>
      </x:c>
      <x:c r="M3" s="22" t="str">
        <x:v>медианная цена сэмпла</x:v>
      </x:c>
      <x:c r="N3" s="22" t="str">
        <x:v>средние просмотры</x:v>
      </x:c>
      <x:c r="O3" s="22" t="str">
        <x:v>ранг</x:v>
      </x:c>
    </x:row>
    <x:row r="4">
      <x:c r="A4" s="23" t="str">
        <x:v>habarovsk</x:v>
      </x:c>
      <x:c r="B4" s="23" t="str">
        <x:v>Khabarovsk</x:v>
      </x:c>
      <x:c r="C4" s="23" t="str">
        <x:v>Хабаровский край</x:v>
      </x:c>
      <x:c r="D4" s="26" t="n">
        <x:v>196</x:v>
      </x:c>
      <x:c r="E4" s="28" t="n">
        <x:v>57286</x:v>
      </x:c>
      <x:c r="F4" s="30" t="n">
        <x:f>E4/$B$1</x:f>
        <x:v>0.649039062545067</x:v>
      </x:c>
      <x:c r="G4" s="26" t="n">
        <x:f>D4*F4</x:f>
        <x:v>127.21165625883314</x:v>
      </x:c>
      <x:c r="H4" s="23" t="n">
        <x:v>7</x:v>
      </x:c>
      <x:c r="I4" s="23" t="n">
        <x:v>39</x:v>
      </x:c>
      <x:c r="J4" s="26" t="n">
        <x:v>658</x:v>
      </x:c>
      <x:c r="K4" s="32" t="n">
        <x:f>J4/D4*1000</x:f>
        <x:v>3357.1428571428573</x:v>
      </x:c>
      <x:c r="L4" s="32" t="n">
        <x:f>J4/G4*1000</x:f>
        <x:v>5172.481982792443</x:v>
      </x:c>
      <x:c r="M4" s="28" t="n">
        <x:v>1290000</x:v>
      </x:c>
      <x:c r="N4" s="32" t="n">
        <x:v>395.3333333333333</x:v>
      </x:c>
      <x:c r="O4" s="34" t="n">
        <x:f>RANK.EQ(L4,$L$4:$L$8,0)</x:f>
        <x:v>1</x:v>
      </x:c>
    </x:row>
    <x:row r="5">
      <x:c r="A5" s="23" t="str">
        <x:v>vladivostok</x:v>
      </x:c>
      <x:c r="B5" s="23" t="str">
        <x:v>Vladivostok</x:v>
      </x:c>
      <x:c r="C5" s="23" t="str">
        <x:v>Приморский край</x:v>
      </x:c>
      <x:c r="D5" s="26" t="n">
        <x:v>252</x:v>
      </x:c>
      <x:c r="E5" s="28" t="n">
        <x:v>54451</x:v>
      </x:c>
      <x:c r="F5" s="30" t="n">
        <x:f>E5/$B$1</x:f>
        <x:v>0.6169190726292889</x:v>
      </x:c>
      <x:c r="G5" s="26" t="n">
        <x:f>D5*F5</x:f>
        <x:v>155.4636063025808</x:v>
      </x:c>
      <x:c r="H5" s="23" t="n">
        <x:v>7</x:v>
      </x:c>
      <x:c r="I5" s="23" t="n">
        <x:v>42</x:v>
      </x:c>
      <x:c r="J5" s="26" t="n">
        <x:v>527</x:v>
      </x:c>
      <x:c r="K5" s="32" t="n">
        <x:f>J5/D5*1000</x:f>
        <x:v>2091.2698412698414</x:v>
      </x:c>
      <x:c r="L5" s="32" t="n">
        <x:f>J5/G5*1000</x:f>
        <x:v>3389.8608975678408</x:v>
      </x:c>
      <x:c r="M5" s="28" t="n">
        <x:v>1740500</x:v>
      </x:c>
      <x:c r="N5" s="32" t="n">
        <x:v>293.3095238095238</x:v>
      </x:c>
      <x:c r="O5" s="34" t="n">
        <x:f>RANK.EQ(L5,$L$4:$L$8,0)</x:f>
        <x:v>2</x:v>
      </x:c>
    </x:row>
    <x:row r="6">
      <x:c r="A6" s="23" t="str">
        <x:v>ryazan</x:v>
      </x:c>
      <x:c r="B6" s="23" t="str">
        <x:v>Ryazan</x:v>
      </x:c>
      <x:c r="C6" s="23" t="str">
        <x:v>Рязанская область</x:v>
      </x:c>
      <x:c r="D6" s="26" t="n">
        <x:v>838</x:v>
      </x:c>
      <x:c r="E6" s="28" t="n">
        <x:v>40126</x:v>
      </x:c>
      <x:c r="F6" s="30" t="n">
        <x:f>E6/$B$1</x:f>
        <x:v>0.4546196526844841</x:v>
      </x:c>
      <x:c r="G6" s="26" t="n">
        <x:f>D6*F6</x:f>
        <x:v>380.9712689495977</x:v>
      </x:c>
      <x:c r="H6" s="23" t="n">
        <x:v>5</x:v>
      </x:c>
      <x:c r="I6" s="23" t="n">
        <x:v>20</x:v>
      </x:c>
      <x:c r="J6" s="26" t="n">
        <x:v>849</x:v>
      </x:c>
      <x:c r="K6" s="32" t="n">
        <x:f>J6/D6*1000</x:f>
        <x:v>1013.1264916467782</x:v>
      </x:c>
      <x:c r="L6" s="32" t="n">
        <x:f>J6/G6*1000</x:f>
        <x:v>2228.5145080384586</x:v>
      </x:c>
      <x:c r="M6" s="28" t="n">
        <x:v>1057500</x:v>
      </x:c>
      <x:c r="N6" s="32" t="n">
        <x:v>56.85</x:v>
      </x:c>
      <x:c r="O6" s="34" t="n">
        <x:f>RANK.EQ(L6,$L$4:$L$8,0)</x:f>
        <x:v>3</x:v>
      </x:c>
    </x:row>
    <x:row r="7">
      <x:c r="A7" s="23" t="str">
        <x:v>spb</x:v>
      </x:c>
      <x:c r="B7" s="23" t="str">
        <x:v>Saint Petersburg</x:v>
      </x:c>
      <x:c r="C7" s="23" t="str">
        <x:v>Санкт-Петербург</x:v>
      </x:c>
      <x:c r="D7" s="26" t="n">
        <x:v>9160</x:v>
      </x:c>
      <x:c r="E7" s="28" t="n">
        <x:v>72698</x:v>
      </x:c>
      <x:c r="F7" s="30" t="n">
        <x:f>E7/$B$1</x:f>
        <x:v>0.8236539777415299</x:v>
      </x:c>
      <x:c r="G7" s="26" t="n">
        <x:f>D7*F7</x:f>
        <x:v>7544.670436112414</x:v>
      </x:c>
      <x:c r="H7" s="23" t="n">
        <x:v>7</x:v>
      </x:c>
      <x:c r="I7" s="23" t="n">
        <x:v>49</x:v>
      </x:c>
      <x:c r="J7" s="26" t="n">
        <x:v>768</x:v>
      </x:c>
      <x:c r="K7" s="32" t="n">
        <x:f>J7/D7*1000</x:f>
        <x:v>83.84279475982532</x:v>
      </x:c>
      <x:c r="L7" s="32" t="n">
        <x:f>J7/G7*1000</x:f>
        <x:v>101.7937107397009</x:v>
      </x:c>
      <x:c r="M7" s="28" t="n">
        <x:v>1600000</x:v>
      </x:c>
      <x:c r="N7" s="32" t="n">
        <x:v>166.9795918367347</x:v>
      </x:c>
      <x:c r="O7" s="34" t="n">
        <x:f>RANK.EQ(L7,$L$4:$L$8,0)</x:f>
        <x:v>4</x:v>
      </x:c>
    </x:row>
    <x:row r="8">
      <x:c r="A8" s="23" t="str">
        <x:v>moscow</x:v>
      </x:c>
      <x:c r="B8" s="23" t="str">
        <x:v>Moscow</x:v>
      </x:c>
      <x:c r="C8" s="23" t="str">
        <x:v>Москва</x:v>
      </x:c>
      <x:c r="D8" s="26" t="n">
        <x:v>12775</x:v>
      </x:c>
      <x:c r="E8" s="28" t="n">
        <x:v>103723</x:v>
      </x:c>
      <x:c r="F8" s="30" t="n">
        <x:f>E8/$B$1</x:f>
        <x:v>1.1751610984247807</x:v>
      </x:c>
      <x:c r="G8" s="26" t="n">
        <x:f>D8*F8</x:f>
        <x:v>15012.683032376573</x:v>
      </x:c>
      <x:c r="H8" s="23" t="n">
        <x:v>7</x:v>
      </x:c>
      <x:c r="I8" s="23" t="n">
        <x:v>49</x:v>
      </x:c>
      <x:c r="J8" s="26" t="n">
        <x:v>1360</x:v>
      </x:c>
      <x:c r="K8" s="32" t="n">
        <x:f>J8/D8*1000</x:f>
        <x:v>106.45792563600783</x:v>
      </x:c>
      <x:c r="L8" s="32" t="n">
        <x:f>J8/G8*1000</x:f>
        <x:v>90.59006954766207</x:v>
      </x:c>
      <x:c r="M8" s="28" t="n">
        <x:v>1974000</x:v>
      </x:c>
      <x:c r="N8" s="32" t="n">
        <x:v>127.6734693877551</x:v>
      </x:c>
      <x:c r="O8" s="34" t="n">
        <x:f>RANK.EQ(L8,$L$4:$L$8,0)</x:f>
        <x:v>5</x:v>
      </x:c>
    </x:row>
  </x:sheetData>
  <x:conditionalFormatting sqref="L4:L8">
    <x:cfRule type="colorScale" priority="1">
      <x:colorScale>
        <x:cfvo type="min"/>
        <x:cfvo type="percentile" val="50"/>
        <x:cfvo type="max"/>
        <x:color rgb="DBEAFE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2a0f14241f244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0600004196167" hidden="0" customWidth="1"/>
    <x:col min="2" max="2" width="5.25" hidden="0" customWidth="1"/>
    <x:col min="3" max="3" width="7" hidden="0" customWidth="1"/>
    <x:col min="4" max="4" width="6.460000038146973" hidden="0" customWidth="1"/>
    <x:col min="5" max="5" width="6.059999942779541" hidden="0" customWidth="1"/>
    <x:col min="6" max="6" width="8.210000038146973" hidden="0" customWidth="1"/>
    <x:col min="7" max="7" width="2.9600000381469727" hidden="0" customWidth="1"/>
    <x:col min="8" max="8" width="5.650000095367432" hidden="0" customWidth="1"/>
    <x:col min="9" max="9" width="4.579999923706055" hidden="0" customWidth="1"/>
  </x:cols>
  <x:sheetData>
    <x:row r="1">
      <x:c r="A1" s="22" t="str">
        <x:v>город</x:v>
      </x:c>
      <x:c r="B1" s="22" t="str">
        <x:v>Crown</x:v>
      </x:c>
      <x:c r="C1" s="22" t="str">
        <x:v>Escalade</x:v>
      </x:c>
      <x:c r="D1" s="22" t="str">
        <x:v>Impreza</x:v>
      </x:c>
      <x:c r="E1" s="22" t="str">
        <x:v>Octavia</x:v>
      </x:c>
      <x:c r="F1" s="22" t="str">
        <x:v>Panamera</x:v>
      </x:c>
      <x:c r="G1" s="22" t="str">
        <x:v>Rio</x:v>
      </x:c>
      <x:c r="H1" s="22" t="str">
        <x:v>Stinger</x:v>
      </x:c>
      <x:c r="I1" s="22" t="str">
        <x:v>итого</x:v>
      </x:c>
    </x:row>
    <x:row r="2">
      <x:c r="A2" s="23" t="str">
        <x:v>Khabarovsk</x:v>
      </x:c>
      <x:c r="B2" s="23" t="n">
        <x:v>256</x:v>
      </x:c>
      <x:c r="C2" s="23" t="n">
        <x:v>9</x:v>
      </x:c>
      <x:c r="D2" s="23" t="n">
        <x:v>120</x:v>
      </x:c>
      <x:c r="E2" s="23" t="n">
        <x:v>2</x:v>
      </x:c>
      <x:c r="F2" s="23" t="n">
        <x:v>1</x:v>
      </x:c>
      <x:c r="G2" s="23" t="n">
        <x:v>20</x:v>
      </x:c>
      <x:c r="H2" s="23" t="n">
        <x:v>250</x:v>
      </x:c>
      <x:c r="I2" s="23" t="n">
        <x:v>658</x:v>
      </x:c>
    </x:row>
    <x:row r="3">
      <x:c r="A3" s="23" t="str">
        <x:v>Vladivostok</x:v>
      </x:c>
      <x:c r="B3" s="23" t="n">
        <x:v>232</x:v>
      </x:c>
      <x:c r="C3" s="23" t="n">
        <x:v>16</x:v>
      </x:c>
      <x:c r="D3" s="23" t="n">
        <x:v>257</x:v>
      </x:c>
      <x:c r="E3" s="23" t="n">
        <x:v>8</x:v>
      </x:c>
      <x:c r="F3" s="23" t="n">
        <x:v>2</x:v>
      </x:c>
      <x:c r="G3" s="23" t="n">
        <x:v>10</x:v>
      </x:c>
      <x:c r="H3" s="23" t="n">
        <x:v>2</x:v>
      </x:c>
      <x:c r="I3" s="23" t="n">
        <x:v>527</x:v>
      </x:c>
    </x:row>
    <x:row r="4">
      <x:c r="A4" s="23" t="str">
        <x:v>Ryazan</x:v>
      </x:c>
      <x:c r="B4" s="23" t="n">
        <x:v>801</x:v>
      </x:c>
      <x:c r="C4" s="23" t="n">
        <x:v>0</x:v>
      </x:c>
      <x:c r="D4" s="23" t="n">
        <x:v>3</x:v>
      </x:c>
      <x:c r="E4" s="23" t="n">
        <x:v>19</x:v>
      </x:c>
      <x:c r="F4" s="23" t="n">
        <x:v>1</x:v>
      </x:c>
      <x:c r="G4" s="23" t="n">
        <x:v>25</x:v>
      </x:c>
      <x:c r="H4" s="23" t="n">
        <x:v>0</x:v>
      </x:c>
      <x:c r="I4" s="23" t="n">
        <x:v>849</x:v>
      </x:c>
    </x:row>
    <x:row r="5">
      <x:c r="A5" s="23" t="str">
        <x:v>Saint Petersburg</x:v>
      </x:c>
      <x:c r="B5" s="23" t="n">
        <x:v>41</x:v>
      </x:c>
      <x:c r="C5" s="23" t="n">
        <x:v>19</x:v>
      </x:c>
      <x:c r="D5" s="23" t="n">
        <x:v>36</x:v>
      </x:c>
      <x:c r="E5" s="23" t="n">
        <x:v>356</x:v>
      </x:c>
      <x:c r="F5" s="23" t="n">
        <x:v>15</x:v>
      </x:c>
      <x:c r="G5" s="23" t="n">
        <x:v>288</x:v>
      </x:c>
      <x:c r="H5" s="23" t="n">
        <x:v>13</x:v>
      </x:c>
      <x:c r="I5" s="23" t="n">
        <x:v>768</x:v>
      </x:c>
    </x:row>
    <x:row r="6">
      <x:c r="A6" s="23" t="str">
        <x:v>Moscow</x:v>
      </x:c>
      <x:c r="B6" s="23" t="n">
        <x:v>45</x:v>
      </x:c>
      <x:c r="C6" s="23" t="n">
        <x:v>103</x:v>
      </x:c>
      <x:c r="D6" s="23" t="n">
        <x:v>51</x:v>
      </x:c>
      <x:c r="E6" s="23" t="n">
        <x:v>616</x:v>
      </x:c>
      <x:c r="F6" s="23" t="n">
        <x:v>58</x:v>
      </x:c>
      <x:c r="G6" s="23" t="n">
        <x:v>459</x:v>
      </x:c>
      <x:c r="H6" s="23" t="n">
        <x:v>28</x:v>
      </x:c>
      <x:c r="I6" s="23" t="n">
        <x:v>1360</x:v>
      </x:c>
    </x:row>
  </x:sheetData>
  <x:pageMargins left="0.7" right="0.7" top="0.75" bottom="0.75" header="0.3" footer="0.3"/>
  <x:tableParts count="1">
    <x:tablePart xmlns:r="http://schemas.openxmlformats.org/officeDocument/2006/relationships" r:id="R8916abcdabfa45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23.959999084472656" hidden="0" customWidth="1"/>
    <x:col min="3" max="3" width="5.650000095367432" hidden="0" customWidth="1"/>
    <x:col min="4" max="4" width="10.630000114440918" hidden="0" customWidth="1"/>
    <x:col min="5" max="5" width="16.020000457763672" hidden="0" customWidth="1"/>
    <x:col min="6" max="6" width="23.959999084472656" hidden="0" customWidth="1"/>
    <x:col min="7" max="7" width="2.4200000762939453" hidden="0" customWidth="1"/>
    <x:col min="8" max="8" width="10.630000114440918" hidden="0" customWidth="1"/>
    <x:col min="9" max="9" width="9.420000076293945" hidden="0" customWidth="1"/>
    <x:col min="10" max="10" width="23.959999084472656" hidden="0" customWidth="1"/>
    <x:col min="18" max="18" width="65" hidden="0" customWidth="1"/>
  </x:cols>
  <x:sheetData>
    <x:row r="1">
      <x:c r="A1" s="40" t="str">
        <x:v>Графики: предложение авто на человека с зарплатной корректировкой</x:v>
      </x:c>
    </x:row>
    <x:row r="3">
      <x:c r="R3" s="18" t="str">
        <x:v>Ключевые выводы</x:v>
      </x:c>
    </x:row>
    <x:row r="4">
      <x:c r="R4" s="49" t="str">
        <x:v>1. Лидер по главному показателю: Khabarovsk — 5172.5 объявлений на 1000 зарплатно-взвешенных человек.</x:v>
      </x:c>
    </x:row>
    <x:row r="5">
      <x:c r="R5" s="49" t="str">
        <x:v>2. Москва имеет максимум оценочных объявлений всего (1 360)  но после деления на большую аудиторию и высокую зарплату опускается вниз рейтинга.</x:v>
      </x:c>
    </x:row>
    <x:row r="6">
      <x:c r="R6" s="49" t="str">
        <x:v>3. Ryazan чувствителен к выбросу Toyota Crown=801 в Drom: без проверки источника этот город лучше трактовать осторожно.</x:v>
      </x:c>
    </x:row>
    <x:row r="24">
      <x:c r="A24" s="45" t="str">
        <x:v>город</x:v>
      </x:c>
      <x:c r="B24" s="45" t="str">
        <x:v>объявлений / 1000 зарпл.-взв. чел</x:v>
      </x:c>
      <x:c r="C24" s="45"/>
      <x:c r="D24" s="45" t="str">
        <x:v>город</x:v>
      </x:c>
      <x:c r="E24" s="45" t="str">
        <x:v>объявлений / 1000 чел</x:v>
      </x:c>
      <x:c r="F24" s="45" t="str">
        <x:v>объявлений / 1000 зарпл.-взв. чел</x:v>
      </x:c>
      <x:c r="G24" s="45"/>
      <x:c r="H24" s="45" t="str">
        <x:v>город</x:v>
      </x:c>
      <x:c r="I24" s="45" t="str">
        <x:v>зарплата, руб</x:v>
      </x:c>
      <x:c r="J24" s="45" t="str">
        <x:v>объявлений / 1000 зарпл.-взв. чел</x:v>
      </x:c>
    </x:row>
    <x:row r="25">
      <x:c r="A25" s="42" t="str">
        <x:v>Khabarovsk</x:v>
      </x:c>
      <x:c r="B25" s="42" t="n">
        <x:v>5172.5</x:v>
      </x:c>
      <x:c r="C25" s="42"/>
      <x:c r="D25" s="42" t="str">
        <x:v>Khabarovsk</x:v>
      </x:c>
      <x:c r="E25" s="42" t="n">
        <x:v>3357.1</x:v>
      </x:c>
      <x:c r="F25" s="42" t="n">
        <x:v>5172.5</x:v>
      </x:c>
      <x:c r="G25" s="42"/>
      <x:c r="H25" s="42" t="str">
        <x:v>Khabarovsk</x:v>
      </x:c>
      <x:c r="I25" s="42" t="n">
        <x:v>57286</x:v>
      </x:c>
      <x:c r="J25" s="42" t="n">
        <x:v>5172.5</x:v>
      </x:c>
    </x:row>
    <x:row r="26">
      <x:c r="A26" s="42" t="str">
        <x:v>Vladivostok</x:v>
      </x:c>
      <x:c r="B26" s="42" t="n">
        <x:v>3389.9</x:v>
      </x:c>
      <x:c r="C26" s="42"/>
      <x:c r="D26" s="42" t="str">
        <x:v>Vladivostok</x:v>
      </x:c>
      <x:c r="E26" s="42" t="n">
        <x:v>2091.3</x:v>
      </x:c>
      <x:c r="F26" s="42" t="n">
        <x:v>3389.9</x:v>
      </x:c>
      <x:c r="G26" s="42"/>
      <x:c r="H26" s="42" t="str">
        <x:v>Vladivostok</x:v>
      </x:c>
      <x:c r="I26" s="42" t="n">
        <x:v>54451</x:v>
      </x:c>
      <x:c r="J26" s="42" t="n">
        <x:v>3389.9</x:v>
      </x:c>
    </x:row>
    <x:row r="27">
      <x:c r="A27" s="42" t="str">
        <x:v>Ryazan</x:v>
      </x:c>
      <x:c r="B27" s="42" t="n">
        <x:v>2228.5</x:v>
      </x:c>
      <x:c r="C27" s="42"/>
      <x:c r="D27" s="42" t="str">
        <x:v>Ryazan</x:v>
      </x:c>
      <x:c r="E27" s="42" t="n">
        <x:v>1013.1</x:v>
      </x:c>
      <x:c r="F27" s="42" t="n">
        <x:v>2228.5</x:v>
      </x:c>
      <x:c r="G27" s="42"/>
      <x:c r="H27" s="42" t="str">
        <x:v>Ryazan</x:v>
      </x:c>
      <x:c r="I27" s="42" t="n">
        <x:v>40126</x:v>
      </x:c>
      <x:c r="J27" s="42" t="n">
        <x:v>2228.5</x:v>
      </x:c>
    </x:row>
    <x:row r="28">
      <x:c r="A28" s="42" t="str">
        <x:v>Saint Petersburg</x:v>
      </x:c>
      <x:c r="B28" s="42" t="n">
        <x:v>101.8</x:v>
      </x:c>
      <x:c r="C28" s="42"/>
      <x:c r="D28" s="42" t="str">
        <x:v>Saint Petersburg</x:v>
      </x:c>
      <x:c r="E28" s="42" t="n">
        <x:v>83.8</x:v>
      </x:c>
      <x:c r="F28" s="42" t="n">
        <x:v>101.8</x:v>
      </x:c>
      <x:c r="G28" s="42"/>
      <x:c r="H28" s="42" t="str">
        <x:v>Saint Petersburg</x:v>
      </x:c>
      <x:c r="I28" s="42" t="n">
        <x:v>72698</x:v>
      </x:c>
      <x:c r="J28" s="42" t="n">
        <x:v>101.8</x:v>
      </x:c>
    </x:row>
    <x:row r="29">
      <x:c r="A29" s="42" t="str">
        <x:v>Moscow</x:v>
      </x:c>
      <x:c r="B29" s="42" t="n">
        <x:v>90.6</x:v>
      </x:c>
      <x:c r="C29" s="42"/>
      <x:c r="D29" s="42" t="str">
        <x:v>Moscow</x:v>
      </x:c>
      <x:c r="E29" s="42" t="n">
        <x:v>106.5</x:v>
      </x:c>
      <x:c r="F29" s="42" t="n">
        <x:v>90.6</x:v>
      </x:c>
      <x:c r="G29" s="42"/>
      <x:c r="H29" s="42" t="str">
        <x:v>Moscow</x:v>
      </x:c>
      <x:c r="I29" s="42" t="n">
        <x:v>103723</x:v>
      </x:c>
      <x:c r="J29" s="42" t="n">
        <x:v>90.6</x:v>
      </x:c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</x:row>
    <x:row r="32">
      <x:c r="A32" s="45" t="str">
        <x:v>город</x:v>
      </x:c>
      <x:c r="B32" s="45" t="str">
        <x:v>Crown</x:v>
      </x:c>
      <x:c r="C32" s="45" t="str">
        <x:v>Escalade</x:v>
      </x:c>
      <x:c r="D32" s="45" t="str">
        <x:v>Impreza</x:v>
      </x:c>
      <x:c r="E32" s="45" t="str">
        <x:v>Octavia</x:v>
      </x:c>
      <x:c r="F32" s="45" t="str">
        <x:v>Panamera</x:v>
      </x:c>
      <x:c r="G32" s="45" t="str">
        <x:v>Rio</x:v>
      </x:c>
      <x:c r="H32" s="45" t="str">
        <x:v>Stinger</x:v>
      </x:c>
      <x:c r="I32" s="42"/>
      <x:c r="J32" s="42"/>
    </x:row>
    <x:row r="33">
      <x:c r="A33" s="42" t="str">
        <x:v>Khabarovsk</x:v>
      </x:c>
      <x:c r="B33" s="42" t="n">
        <x:v>256</x:v>
      </x:c>
      <x:c r="C33" s="42" t="n">
        <x:v>9</x:v>
      </x:c>
      <x:c r="D33" s="42" t="n">
        <x:v>120</x:v>
      </x:c>
      <x:c r="E33" s="42" t="n">
        <x:v>2</x:v>
      </x:c>
      <x:c r="F33" s="42" t="n">
        <x:v>1</x:v>
      </x:c>
      <x:c r="G33" s="42" t="n">
        <x:v>20</x:v>
      </x:c>
      <x:c r="H33" s="42" t="n">
        <x:v>250</x:v>
      </x:c>
      <x:c r="I33" s="42"/>
      <x:c r="J33" s="42"/>
    </x:row>
    <x:row r="34">
      <x:c r="A34" s="42" t="str">
        <x:v>Vladivostok</x:v>
      </x:c>
      <x:c r="B34" s="42" t="n">
        <x:v>232</x:v>
      </x:c>
      <x:c r="C34" s="42" t="n">
        <x:v>16</x:v>
      </x:c>
      <x:c r="D34" s="42" t="n">
        <x:v>257</x:v>
      </x:c>
      <x:c r="E34" s="42" t="n">
        <x:v>8</x:v>
      </x:c>
      <x:c r="F34" s="42" t="n">
        <x:v>2</x:v>
      </x:c>
      <x:c r="G34" s="42" t="n">
        <x:v>10</x:v>
      </x:c>
      <x:c r="H34" s="42" t="n">
        <x:v>2</x:v>
      </x:c>
      <x:c r="I34" s="42"/>
      <x:c r="J34" s="42"/>
    </x:row>
    <x:row r="35">
      <x:c r="A35" s="42" t="str">
        <x:v>Ryazan</x:v>
      </x:c>
      <x:c r="B35" s="42" t="n">
        <x:v>801</x:v>
      </x:c>
      <x:c r="C35" s="42" t="n">
        <x:v>0</x:v>
      </x:c>
      <x:c r="D35" s="42" t="n">
        <x:v>3</x:v>
      </x:c>
      <x:c r="E35" s="42" t="n">
        <x:v>19</x:v>
      </x:c>
      <x:c r="F35" s="42" t="n">
        <x:v>1</x:v>
      </x:c>
      <x:c r="G35" s="42" t="n">
        <x:v>25</x:v>
      </x:c>
      <x:c r="H35" s="42" t="n">
        <x:v>0</x:v>
      </x:c>
      <x:c r="I35" s="42"/>
      <x:c r="J35" s="42"/>
    </x:row>
    <x:row r="36">
      <x:c r="A36" s="42" t="str">
        <x:v>Saint Petersburg</x:v>
      </x:c>
      <x:c r="B36" s="42" t="n">
        <x:v>41</x:v>
      </x:c>
      <x:c r="C36" s="42" t="n">
        <x:v>19</x:v>
      </x:c>
      <x:c r="D36" s="42" t="n">
        <x:v>36</x:v>
      </x:c>
      <x:c r="E36" s="42" t="n">
        <x:v>356</x:v>
      </x:c>
      <x:c r="F36" s="42" t="n">
        <x:v>15</x:v>
      </x:c>
      <x:c r="G36" s="42" t="n">
        <x:v>288</x:v>
      </x:c>
      <x:c r="H36" s="42" t="n">
        <x:v>13</x:v>
      </x:c>
      <x:c r="I36" s="42"/>
      <x:c r="J36" s="42"/>
    </x:row>
    <x:row r="37">
      <x:c r="A37" s="42" t="str">
        <x:v>Moscow</x:v>
      </x:c>
      <x:c r="B37" s="42" t="n">
        <x:v>45</x:v>
      </x:c>
      <x:c r="C37" s="42" t="n">
        <x:v>103</x:v>
      </x:c>
      <x:c r="D37" s="42" t="n">
        <x:v>51</x:v>
      </x:c>
      <x:c r="E37" s="42" t="n">
        <x:v>616</x:v>
      </x:c>
      <x:c r="F37" s="42" t="n">
        <x:v>58</x:v>
      </x:c>
      <x:c r="G37" s="42" t="n">
        <x:v>459</x:v>
      </x:c>
      <x:c r="H37" s="42" t="n">
        <x:v>28</x:v>
      </x:c>
      <x:c r="I37" s="42"/>
      <x:c r="J37" s="42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030ed7f446ab47e9"/>
</x:worksheet>
</file>